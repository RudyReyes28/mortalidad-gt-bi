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Costos Directos de Personal" sheetId="2" r:id="rId6"/>
    <sheet state="visible" name="Costos de Infraestructura Cloud" sheetId="3" r:id="rId7"/>
    <sheet state="visible" name="Calendario de Desembolsos (Hito" sheetId="4" r:id="rId8"/>
  </sheets>
  <definedNames/>
  <calcPr/>
</workbook>
</file>

<file path=xl/sharedStrings.xml><?xml version="1.0" encoding="utf-8"?>
<sst xmlns="http://schemas.openxmlformats.org/spreadsheetml/2006/main" count="86" uniqueCount="83">
  <si>
    <t>ID</t>
  </si>
  <si>
    <t>Concepto de Gasto</t>
  </si>
  <si>
    <t>Monto Total (USD)</t>
  </si>
  <si>
    <t>% del Total</t>
  </si>
  <si>
    <t>1.0</t>
  </si>
  <si>
    <t>Costos Directos de Personal (Honorarios Profesionales)</t>
  </si>
  <si>
    <t>2.0</t>
  </si>
  <si>
    <t>Costos de Infraestructura Cloud y Licenciamiento</t>
  </si>
  <si>
    <t>3.0</t>
  </si>
  <si>
    <t>Gastos Administrativos / Overhead (5%) [1]</t>
  </si>
  <si>
    <t>4.0</t>
  </si>
  <si>
    <t>Reserva de Contingencia de Gestión (5%) [2]</t>
  </si>
  <si>
    <t>PRESUPUESTO TOTAL (SUMA ALZADA)</t>
  </si>
  <si>
    <t>Notas Financieras: [1] Overhead: Cubre costos de facturación, representaciones legales y gastos de back-office de la firma consultora. [2] Contingencia: Administrada por el Project Manager para absorber fluctuaciones en el costo de la nube por variaciones de la tasa de cambio o picos de procesamiento imprevistos. Si no se usa, incrementa el margen de utilidad.</t>
  </si>
  <si>
    <t>Basado en un calendario de 20 días laborables por mes (80 días total). Las tarifas reflejan el nivel Seniority requerido para procesar datos de salud pública a nivel nacional.</t>
  </si>
  <si>
    <t>Rol del Consultor</t>
  </si>
  <si>
    <t>Tipo de Contratación</t>
  </si>
  <si>
    <t>Tarifa Diaria (USD)</t>
  </si>
  <si>
    <t>Días Asignados</t>
  </si>
  <si>
    <t>Total (USD)</t>
  </si>
  <si>
    <t>Justificación del Nivel de Esfuerzo (LOE)</t>
  </si>
  <si>
    <t>Lead Data Engineer / Cloud Architect</t>
  </si>
  <si>
    <t>Consultor Core (Key Personnel)</t>
  </si>
  <si>
    <t>Responsable de la infraestructura AWS, diseño del Data Warehouse, y programación de pipelines ETL (Glue/Python).</t>
  </si>
  <si>
    <t>Lead Data Scientist / BI Expert</t>
  </si>
  <si>
    <t>Desarrollo del modelo predictivo (ML), análisis estadístico Pre/Post COVID y creación de visualizaciones en Power BI/Tableau.</t>
  </si>
  <si>
    <t>Project Manager (PMP)</t>
  </si>
  <si>
    <t>Contratación / Soporte</t>
  </si>
  <si>
    <t>1 día semanal. Control del WBS, gestión de riesgos, QA, informes de avance y enlace directo con Patrocinadores.</t>
  </si>
  <si>
    <t>Epidemiólogo (SME)</t>
  </si>
  <si>
    <t>Auditoría clínica del cruce de códigos CIE-10 y validación de hallazgos del impacto en enfermedades crónicas.</t>
  </si>
  <si>
    <t>TOTAL PERSONAL</t>
  </si>
  <si>
    <t>Presupuesto dimensionado para entornos de Producción (Enterprise-grade). Se excluye explícitamente el uso de "Free Tiers" para garantizar el cumplimiento de los Service Level Agreements (SLA) del 99.9% exigidos por Gobierno.</t>
  </si>
  <si>
    <t>Categoría</t>
  </si>
  <si>
    <t>Servicio / Proveedor</t>
  </si>
  <si>
    <t>Especificación Técnica</t>
  </si>
  <si>
    <t>Costo Mensual (USD)</t>
  </si>
  <si>
    <t>Meses</t>
  </si>
  <si>
    <t>Database</t>
  </si>
  <si>
    <t>AWS RDS PostgreSQL</t>
  </si>
  <si>
    <t>Instancia Multi-AZ (Alta Disponibilidad), db.t3.large, 100GB disco SSD gp3, Backups automáticos 7 días.</t>
  </si>
  <si>
    <t>Compute / ETL</t>
  </si>
  <si>
    <t>AWS Glue (Serverless)</t>
  </si>
  <si>
    <t>Ejecución de 5 Jobs diarios. Consumo estimado: 2 DPUs * 1.5 horas/día * 30 días * $0.44/DPU-hora.</t>
  </si>
  <si>
    <t>Storage &amp; Sec</t>
  </si>
  <si>
    <t>AWS S3 + Secrets Mgr</t>
  </si>
  <si>
    <t>Almacenamiento RAW Data en S3 Standard + 5 Secretos rotados + Logs de auditoría en CloudWatch.</t>
  </si>
  <si>
    <t>Redes / Egress</t>
  </si>
  <si>
    <t>AWS Data Transfer Out</t>
  </si>
  <si>
    <t>Tráfico estimado de salida hacia Power BI Service (50 GB/mes).</t>
  </si>
  <si>
    <t>Licencias BI</t>
  </si>
  <si>
    <t>Power BI Pro</t>
  </si>
  <si>
    <t>5 Licencias (2 Consultores + 3 Usuarios Clave MSPAS/PNUD) a $10 c/u para publicación de reportes en Workspace privado.</t>
  </si>
  <si>
    <t>Licencias GIS</t>
  </si>
  <si>
    <t>Tableau Creator</t>
  </si>
  <si>
    <t>2 Licencias ($75 c/u) para desarrollo de mapas coropléticos departamentales de saturación hospitalaria.</t>
  </si>
  <si>
    <t>Repositorio</t>
  </si>
  <si>
    <t xml:space="preserve">GitHub Enterprise </t>
  </si>
  <si>
    <t>Plan Team. Incluye GitHub Actions para CI/CD continuo (compilación y despliegue del sitio web MkDocs).</t>
  </si>
  <si>
    <t>TOTAL INFRA.</t>
  </si>
  <si>
    <t>Pago</t>
  </si>
  <si>
    <t>Correspondencia WBS</t>
  </si>
  <si>
    <t>Hito de Entrega (Milestone)</t>
  </si>
  <si>
    <t>Condición de Aprobación</t>
  </si>
  <si>
    <t>%</t>
  </si>
  <si>
    <t>Monto a Facturar (USD)</t>
  </si>
  <si>
    <t>Pago 1</t>
  </si>
  <si>
    <t>Fase 1.0</t>
  </si>
  <si>
    <t>Diseño y Gobernanza Aprobados. (Fin Mes 1). Entrega de Project Charter, WBS, Matriz RACI, Diagramas de Arquitectura (Draw.io) y Modelado ERD.</t>
  </si>
  <si>
    <t>Firma de Patrocinador en Documento de Diseño.</t>
  </si>
  <si>
    <t>Pago 2</t>
  </si>
  <si>
    <t>Fase 2.0</t>
  </si>
  <si>
    <t>Infraestructura Cloud y Data Warehouse Desplegados. (Fin Mes 2). Scripts de ingesta corriendo y DB PostgreSQL poblada en esquema Stage/DW.</t>
  </si>
  <si>
    <t>Demo técnica exitosa y revisión de código en GitHub.</t>
  </si>
  <si>
    <t>Pago 3</t>
  </si>
  <si>
    <t>Fase 3.0</t>
  </si>
  <si>
    <t>Capa Analítica y Modelado ML. (Fin Mes 3). 4 Dashboards funcionales y modelo de Machine Learning (.tar) exportado con evaluación de precisión.</t>
  </si>
  <si>
    <t>Validación clínica del SME y validación visual PNUD.</t>
  </si>
  <si>
    <t>Pago 4</t>
  </si>
  <si>
    <t>Fase 4.0</t>
  </si>
  <si>
    <t>Cierre, Documentación y Handover. (Fin Mes 4). Informe Consultivo Final, Portal MkDocs desplegado y Taller de Capacitación impartido al MSPAS.</t>
  </si>
  <si>
    <t>Acta de Aceptación Final y Entrega de Llaves AWS.</t>
  </si>
  <si>
    <t>TOTAL CONTRATO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</si>
</sst>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0.0%"/>
  </numFmts>
  <fonts count="4">
    <font>
      <sz val="10.0"/>
      <color rgb="FF000000"/>
      <name val="Arial"/>
      <scheme val="minor"/>
    </font>
    <font>
      <b/>
      <sz val="10.0"/>
      <color rgb="FFFFFFFF"/>
      <name val="Montserrat"/>
    </font>
    <font>
      <sz val="10.0"/>
      <color rgb="FF1A1B1F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164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1" numFmtId="164" xfId="0" applyFont="1" applyNumberFormat="1"/>
    <xf borderId="0" fillId="3" fontId="2" numFmtId="9" xfId="0" applyAlignment="1" applyFont="1" applyNumberFormat="1">
      <alignment readingOrder="0"/>
    </xf>
    <xf borderId="0" fillId="4" fontId="2" numFmtId="9" xfId="0" applyAlignment="1" applyFont="1" applyNumberFormat="1">
      <alignment readingOrder="0"/>
    </xf>
    <xf borderId="0" fillId="2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41.25"/>
    <col customWidth="1" min="3" max="3" width="14.25"/>
    <col customWidth="1" min="4" max="4" width="8.75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4</v>
      </c>
      <c r="B3" s="2" t="s">
        <v>5</v>
      </c>
      <c r="C3" s="3">
        <f>'Costos Directos de Personal'!E8</f>
        <v>48000</v>
      </c>
      <c r="D3" s="4">
        <f t="shared" ref="D3:D6" si="1">C3/$C$7</f>
        <v>0.8520730227</v>
      </c>
    </row>
    <row r="4">
      <c r="A4" s="5" t="s">
        <v>6</v>
      </c>
      <c r="B4" s="5" t="s">
        <v>7</v>
      </c>
      <c r="C4" s="6">
        <f>'Costos de Infraestructura Cloud'!F11</f>
        <v>3212</v>
      </c>
      <c r="D4" s="7">
        <f t="shared" si="1"/>
        <v>0.05701788643</v>
      </c>
    </row>
    <row r="5">
      <c r="A5" s="2" t="s">
        <v>8</v>
      </c>
      <c r="B5" s="2" t="s">
        <v>9</v>
      </c>
      <c r="C5" s="3">
        <f>(C3+C4)*5%</f>
        <v>2560.6</v>
      </c>
      <c r="D5" s="4">
        <f t="shared" si="1"/>
        <v>0.04545454545</v>
      </c>
    </row>
    <row r="6">
      <c r="A6" s="5" t="s">
        <v>10</v>
      </c>
      <c r="B6" s="5" t="s">
        <v>11</v>
      </c>
      <c r="C6" s="6">
        <f>(C3+C4)*5%</f>
        <v>2560.6</v>
      </c>
      <c r="D6" s="7">
        <f t="shared" si="1"/>
        <v>0.04545454545</v>
      </c>
    </row>
    <row r="7">
      <c r="A7" s="8"/>
      <c r="B7" s="9" t="s">
        <v>12</v>
      </c>
      <c r="C7" s="10">
        <f t="shared" ref="C7:D7" si="2">SUM(C3:C6)</f>
        <v>56333.2</v>
      </c>
      <c r="D7" s="11">
        <f t="shared" si="2"/>
        <v>1</v>
      </c>
    </row>
    <row r="10">
      <c r="A10" s="12" t="s">
        <v>13</v>
      </c>
    </row>
  </sheetData>
  <mergeCells count="1">
    <mergeCell ref="A10:D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2.75"/>
    <col customWidth="1" min="2" max="2" width="26.63"/>
    <col customWidth="1" min="3" max="3" width="22.88"/>
    <col customWidth="1" min="4" max="4" width="22.38"/>
    <col customWidth="1" min="5" max="5" width="18.63"/>
    <col customWidth="1" min="6" max="6" width="101.88"/>
  </cols>
  <sheetData>
    <row r="2">
      <c r="A2" s="13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</row>
    <row r="4">
      <c r="A4" s="2" t="s">
        <v>21</v>
      </c>
      <c r="B4" s="2" t="s">
        <v>22</v>
      </c>
      <c r="C4" s="3">
        <v>300.0</v>
      </c>
      <c r="D4" s="2">
        <v>80.0</v>
      </c>
      <c r="E4" s="3">
        <f t="shared" ref="E4:E7" si="1">C4*D4</f>
        <v>24000</v>
      </c>
      <c r="F4" s="2" t="s">
        <v>23</v>
      </c>
    </row>
    <row r="5">
      <c r="A5" s="5" t="s">
        <v>24</v>
      </c>
      <c r="B5" s="5" t="s">
        <v>22</v>
      </c>
      <c r="C5" s="6">
        <v>250.0</v>
      </c>
      <c r="D5" s="5">
        <v>80.0</v>
      </c>
      <c r="E5" s="6">
        <f t="shared" si="1"/>
        <v>20000</v>
      </c>
      <c r="F5" s="5" t="s">
        <v>25</v>
      </c>
    </row>
    <row r="6">
      <c r="A6" s="2" t="s">
        <v>26</v>
      </c>
      <c r="B6" s="2" t="s">
        <v>27</v>
      </c>
      <c r="C6" s="3">
        <v>150.0</v>
      </c>
      <c r="D6" s="2">
        <v>16.0</v>
      </c>
      <c r="E6" s="3">
        <f t="shared" si="1"/>
        <v>2400</v>
      </c>
      <c r="F6" s="2" t="s">
        <v>28</v>
      </c>
    </row>
    <row r="7">
      <c r="A7" s="5" t="s">
        <v>29</v>
      </c>
      <c r="B7" s="5" t="s">
        <v>27</v>
      </c>
      <c r="C7" s="6">
        <v>200.0</v>
      </c>
      <c r="D7" s="5">
        <v>8.0</v>
      </c>
      <c r="E7" s="6">
        <f t="shared" si="1"/>
        <v>1600</v>
      </c>
      <c r="F7" s="5" t="s">
        <v>30</v>
      </c>
    </row>
    <row r="8">
      <c r="A8" s="9" t="s">
        <v>31</v>
      </c>
      <c r="B8" s="8"/>
      <c r="C8" s="14"/>
      <c r="D8" s="9">
        <f t="shared" ref="D8:E8" si="2">SUM(D4:D7)</f>
        <v>184</v>
      </c>
      <c r="E8" s="10">
        <f t="shared" si="2"/>
        <v>48000</v>
      </c>
      <c r="F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5"/>
    <col customWidth="1" min="2" max="2" width="17.38"/>
    <col customWidth="1" min="3" max="3" width="90.13"/>
    <col customWidth="1" min="4" max="4" width="20.88"/>
    <col customWidth="1" min="5" max="5" width="9.5"/>
    <col customWidth="1" min="6" max="6" width="14.63"/>
  </cols>
  <sheetData>
    <row r="2">
      <c r="A2" s="13" t="s">
        <v>32</v>
      </c>
    </row>
    <row r="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19</v>
      </c>
    </row>
    <row r="4">
      <c r="A4" s="2" t="s">
        <v>38</v>
      </c>
      <c r="B4" s="2" t="s">
        <v>39</v>
      </c>
      <c r="C4" s="2" t="s">
        <v>40</v>
      </c>
      <c r="D4" s="3">
        <v>235.0</v>
      </c>
      <c r="E4" s="2">
        <v>4.0</v>
      </c>
      <c r="F4" s="3">
        <f t="shared" ref="F4:F10" si="1">D4*E4</f>
        <v>940</v>
      </c>
    </row>
    <row r="5">
      <c r="A5" s="5" t="s">
        <v>41</v>
      </c>
      <c r="B5" s="5" t="s">
        <v>42</v>
      </c>
      <c r="C5" s="5" t="s">
        <v>43</v>
      </c>
      <c r="D5" s="6">
        <v>198.0</v>
      </c>
      <c r="E5" s="5">
        <v>4.0</v>
      </c>
      <c r="F5" s="6">
        <f t="shared" si="1"/>
        <v>792</v>
      </c>
    </row>
    <row r="6">
      <c r="A6" s="2" t="s">
        <v>44</v>
      </c>
      <c r="B6" s="2" t="s">
        <v>45</v>
      </c>
      <c r="C6" s="2" t="s">
        <v>46</v>
      </c>
      <c r="D6" s="3">
        <v>50.0</v>
      </c>
      <c r="E6" s="2">
        <v>4.0</v>
      </c>
      <c r="F6" s="3">
        <f t="shared" si="1"/>
        <v>200</v>
      </c>
    </row>
    <row r="7">
      <c r="A7" s="5" t="s">
        <v>47</v>
      </c>
      <c r="B7" s="5" t="s">
        <v>48</v>
      </c>
      <c r="C7" s="5" t="s">
        <v>49</v>
      </c>
      <c r="D7" s="6">
        <v>20.0</v>
      </c>
      <c r="E7" s="5">
        <v>4.0</v>
      </c>
      <c r="F7" s="6">
        <f t="shared" si="1"/>
        <v>80</v>
      </c>
    </row>
    <row r="8">
      <c r="A8" s="2" t="s">
        <v>50</v>
      </c>
      <c r="B8" s="2" t="s">
        <v>51</v>
      </c>
      <c r="C8" s="2" t="s">
        <v>52</v>
      </c>
      <c r="D8" s="3">
        <v>50.0</v>
      </c>
      <c r="E8" s="2">
        <v>4.0</v>
      </c>
      <c r="F8" s="3">
        <f t="shared" si="1"/>
        <v>200</v>
      </c>
    </row>
    <row r="9">
      <c r="A9" s="5" t="s">
        <v>53</v>
      </c>
      <c r="B9" s="5" t="s">
        <v>54</v>
      </c>
      <c r="C9" s="5" t="s">
        <v>55</v>
      </c>
      <c r="D9" s="6">
        <v>150.0</v>
      </c>
      <c r="E9" s="5">
        <v>4.0</v>
      </c>
      <c r="F9" s="6">
        <f t="shared" si="1"/>
        <v>600</v>
      </c>
    </row>
    <row r="10">
      <c r="A10" s="2" t="s">
        <v>56</v>
      </c>
      <c r="B10" s="2" t="s">
        <v>57</v>
      </c>
      <c r="C10" s="2" t="s">
        <v>58</v>
      </c>
      <c r="D10" s="3">
        <v>100.0</v>
      </c>
      <c r="E10" s="2">
        <v>4.0</v>
      </c>
      <c r="F10" s="3">
        <f t="shared" si="1"/>
        <v>400</v>
      </c>
    </row>
    <row r="11">
      <c r="A11" s="9" t="s">
        <v>59</v>
      </c>
      <c r="B11" s="8"/>
      <c r="C11" s="8"/>
      <c r="D11" s="14"/>
      <c r="E11" s="8"/>
      <c r="F11" s="10">
        <f>SUM(F4:F10)</f>
        <v>3212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27.75"/>
    <col customWidth="1" min="3" max="3" width="115.13"/>
    <col customWidth="1" min="4" max="4" width="39.25"/>
    <col customWidth="1" min="5" max="5" width="8.0"/>
    <col customWidth="1" min="6" max="6" width="23.88"/>
  </cols>
  <sheetData>
    <row r="2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</row>
    <row r="3">
      <c r="A3" s="2" t="s">
        <v>66</v>
      </c>
      <c r="B3" s="2" t="s">
        <v>67</v>
      </c>
      <c r="C3" s="2" t="s">
        <v>68</v>
      </c>
      <c r="D3" s="2" t="s">
        <v>69</v>
      </c>
      <c r="E3" s="15">
        <v>0.2</v>
      </c>
      <c r="F3" s="3">
        <f>E3*'Resumen Ejecutivo'!$C$7</f>
        <v>11266.64</v>
      </c>
    </row>
    <row r="4">
      <c r="A4" s="5" t="s">
        <v>70</v>
      </c>
      <c r="B4" s="5" t="s">
        <v>71</v>
      </c>
      <c r="C4" s="5" t="s">
        <v>72</v>
      </c>
      <c r="D4" s="5" t="s">
        <v>73</v>
      </c>
      <c r="E4" s="16">
        <v>0.3</v>
      </c>
      <c r="F4" s="6">
        <f>E4*'Resumen Ejecutivo'!$C$7</f>
        <v>16899.96</v>
      </c>
    </row>
    <row r="5">
      <c r="A5" s="2" t="s">
        <v>74</v>
      </c>
      <c r="B5" s="2" t="s">
        <v>75</v>
      </c>
      <c r="C5" s="2" t="s">
        <v>76</v>
      </c>
      <c r="D5" s="2" t="s">
        <v>77</v>
      </c>
      <c r="E5" s="15">
        <v>0.3</v>
      </c>
      <c r="F5" s="3">
        <f>E5*'Resumen Ejecutivo'!$C$7</f>
        <v>16899.96</v>
      </c>
    </row>
    <row r="6">
      <c r="A6" s="5" t="s">
        <v>78</v>
      </c>
      <c r="B6" s="5" t="s">
        <v>79</v>
      </c>
      <c r="C6" s="5" t="s">
        <v>80</v>
      </c>
      <c r="D6" s="5" t="s">
        <v>81</v>
      </c>
      <c r="E6" s="16">
        <v>0.2</v>
      </c>
      <c r="F6" s="6">
        <f>E6*'Resumen Ejecutivo'!$C$7</f>
        <v>11266.64</v>
      </c>
    </row>
    <row r="7">
      <c r="A7" s="8"/>
      <c r="B7" s="8"/>
      <c r="C7" s="8"/>
      <c r="D7" s="9" t="s">
        <v>82</v>
      </c>
      <c r="E7" s="17">
        <f t="shared" ref="E7:F7" si="1">SUM(E3:E6)</f>
        <v>1</v>
      </c>
      <c r="F7" s="10">
        <f t="shared" si="1"/>
        <v>56333.2</v>
      </c>
    </row>
  </sheetData>
  <drawing r:id="rId1"/>
</worksheet>
</file>