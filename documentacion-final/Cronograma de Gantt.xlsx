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5"/>
  </sheets>
  <definedNames/>
  <calcPr/>
</workbook>
</file>

<file path=xl/sharedStrings.xml><?xml version="1.0" encoding="utf-8"?>
<sst xmlns="http://schemas.openxmlformats.org/spreadsheetml/2006/main" count="28" uniqueCount="28">
  <si>
    <t>Diagrama de Gantt Plataforma Inteligencia Epidemiológica GT</t>
  </si>
  <si>
    <t>Tarea</t>
  </si>
  <si>
    <t>Fecha de Inicio</t>
  </si>
  <si>
    <t>Duración</t>
  </si>
  <si>
    <t>Fecha de Fin</t>
  </si>
  <si>
    <t>INICIO Y PLANIFICACIÓN (Mes 1 - Junio)</t>
  </si>
  <si>
    <t>1.1 Gestión Integral del Proyecto</t>
  </si>
  <si>
    <t>1.2 Levantamiento de Requisitos</t>
  </si>
  <si>
    <t>1.3 Diseño Arquitectónico (AWS/ERD)</t>
  </si>
  <si>
    <t>HITO 1: Aprobación de Planificación</t>
  </si>
  <si>
    <t>DESPLIEGUE CLOUD E INGENIERÍA (Mes 1 y 2 - Jun/Jul)</t>
  </si>
  <si>
    <t>2.1 Configuración Infraestructura (AWS)</t>
  </si>
  <si>
    <t>2.2 Capa de Ingesta (Extract/Sandbox)</t>
  </si>
  <si>
    <t>2.3 Capa de Transformación (Stage)</t>
  </si>
  <si>
    <t>2.4 Data Warehouse Central</t>
  </si>
  <si>
    <t>HITO 2: Despliegue de Pipelines</t>
  </si>
  <si>
    <t>BI Y MACHINE LEARNING (Mes 3 - Agosto)</t>
  </si>
  <si>
    <t>3.1 Modelado Semántico y DAX</t>
  </si>
  <si>
    <t>3.2 Dashboards Power BI</t>
  </si>
  <si>
    <t>3.3 Dashboards Tableau (Geoespacial)</t>
  </si>
  <si>
    <t>3.4 Modelado Predictivo (ML)</t>
  </si>
  <si>
    <t>HITO 3: Analítica y Modelos Finalizados</t>
  </si>
  <si>
    <t>TRANSICIÓN Y CIERRE (Mes 4 - Septiembre)</t>
  </si>
  <si>
    <t>4.1 Documentación Técnica (MkDocs)</t>
  </si>
  <si>
    <t>4.2 Informe Consultivo de Políticas</t>
  </si>
  <si>
    <t>4.3 Handoff Técnico (Capacitación)</t>
  </si>
  <si>
    <t>4.4 Cierre y Presentación Ejecutiva</t>
  </si>
  <si>
    <t>HITO 4: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</si>
</sst>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yyyy-mm-dd"/>
  </numFmts>
  <fonts count="7">
    <font>
      <sz val="10.0"/>
      <color rgb="FF000000"/>
      <name val="Arial"/>
      <scheme val="minor"/>
    </font>
    <font>
      <b/>
      <sz val="24.0"/>
      <color rgb="FF2F618B"/>
      <name val="Montserrat"/>
    </font>
    <font>
      <b/>
      <color rgb="FFFFFFFF"/>
      <name val="Roboto"/>
    </font>
    <font>
      <sz val="8.0"/>
      <color rgb="FFFFFFFF"/>
      <name val="Roboto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  <fill>
      <patternFill patternType="solid">
        <fgColor rgb="FFD4E3F7"/>
        <bgColor rgb="FFD4E3F7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</border>
    <border>
      <left style="thin">
        <color rgb="FF71777E"/>
      </left>
      <top style="thin">
        <color rgb="FF71777E"/>
      </top>
      <bottom style="thin">
        <color rgb="FF71777E"/>
      </bottom>
    </border>
    <border>
      <left style="thin">
        <color rgb="FFE6E8ED"/>
      </left>
      <right style="thin">
        <color rgb="FFE6E8ED"/>
      </right>
      <top style="thin">
        <color rgb="FFE6E8ED"/>
      </top>
    </border>
    <border>
      <top style="thin">
        <color rgb="FF71777E"/>
      </top>
      <bottom style="thin">
        <color rgb="FF71777E"/>
      </bottom>
    </border>
    <border>
      <right style="thin">
        <color rgb="FF71777E"/>
      </right>
      <top style="thin">
        <color rgb="FF71777E"/>
      </top>
      <bottom style="thin">
        <color rgb="FF71777E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3" numFmtId="164" xfId="0" applyAlignment="1" applyBorder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2" fillId="3" fontId="4" numFmtId="0" xfId="0" applyAlignment="1" applyBorder="1" applyFill="1" applyFont="1">
      <alignment readingOrder="0"/>
    </xf>
    <xf borderId="4" fillId="0" fontId="5" numFmtId="0" xfId="0" applyBorder="1" applyFont="1"/>
    <xf borderId="5" fillId="0" fontId="5" numFmtId="0" xfId="0" applyBorder="1" applyFont="1"/>
    <xf borderId="6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2" fillId="0" fontId="6" numFmtId="165" xfId="0" applyBorder="1" applyFont="1" applyNumberFormat="1"/>
    <xf borderId="6" fillId="4" fontId="6" numFmtId="0" xfId="0" applyBorder="1" applyFill="1" applyFont="1"/>
    <xf borderId="1" fillId="0" fontId="6" numFmtId="165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86CEEB"/>
          <bgColor rgb="FF86CEEB"/>
        </patternFill>
      </fill>
      <border/>
    </dxf>
    <dxf>
      <font/>
      <fill>
        <patternFill patternType="solid">
          <fgColor rgb="FFF97F71"/>
          <bgColor rgb="FFF97F71"/>
        </patternFill>
      </fill>
      <border/>
    </dxf>
    <dxf>
      <font/>
      <fill>
        <patternFill patternType="solid">
          <fgColor rgb="FFEBD94E"/>
          <bgColor rgb="FFEBD94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4.13"/>
    <col customWidth="1" min="5" max="5" width="14.5"/>
    <col customWidth="1" min="6" max="93" width="5.25"/>
  </cols>
  <sheetData>
    <row r="1" ht="6.75" customHeight="1"/>
    <row r="2">
      <c r="B2" s="1" t="s">
        <v>0</v>
      </c>
    </row>
    <row r="5">
      <c r="B5" s="2" t="s">
        <v>1</v>
      </c>
      <c r="C5" s="2" t="s">
        <v>2</v>
      </c>
      <c r="D5" s="2" t="s">
        <v>3</v>
      </c>
      <c r="E5" s="3" t="s">
        <v>4</v>
      </c>
      <c r="F5" s="4">
        <f t="shared" ref="F5:CP5" si="1">WORKDAY($C$7, COLUMN()-6)</f>
        <v>46174</v>
      </c>
      <c r="G5" s="4">
        <f t="shared" si="1"/>
        <v>46175</v>
      </c>
      <c r="H5" s="4">
        <f t="shared" si="1"/>
        <v>46176</v>
      </c>
      <c r="I5" s="4">
        <f t="shared" si="1"/>
        <v>46177</v>
      </c>
      <c r="J5" s="4">
        <f t="shared" si="1"/>
        <v>46178</v>
      </c>
      <c r="K5" s="4">
        <f t="shared" si="1"/>
        <v>46181</v>
      </c>
      <c r="L5" s="4">
        <f t="shared" si="1"/>
        <v>46182</v>
      </c>
      <c r="M5" s="4">
        <f t="shared" si="1"/>
        <v>46183</v>
      </c>
      <c r="N5" s="4">
        <f t="shared" si="1"/>
        <v>46184</v>
      </c>
      <c r="O5" s="4">
        <f t="shared" si="1"/>
        <v>46185</v>
      </c>
      <c r="P5" s="4">
        <f t="shared" si="1"/>
        <v>46188</v>
      </c>
      <c r="Q5" s="4">
        <f t="shared" si="1"/>
        <v>46189</v>
      </c>
      <c r="R5" s="4">
        <f t="shared" si="1"/>
        <v>46190</v>
      </c>
      <c r="S5" s="4">
        <f t="shared" si="1"/>
        <v>46191</v>
      </c>
      <c r="T5" s="4">
        <f t="shared" si="1"/>
        <v>46192</v>
      </c>
      <c r="U5" s="4">
        <f t="shared" si="1"/>
        <v>46195</v>
      </c>
      <c r="V5" s="4">
        <f t="shared" si="1"/>
        <v>46196</v>
      </c>
      <c r="W5" s="4">
        <f t="shared" si="1"/>
        <v>46197</v>
      </c>
      <c r="X5" s="4">
        <f t="shared" si="1"/>
        <v>46198</v>
      </c>
      <c r="Y5" s="4">
        <f t="shared" si="1"/>
        <v>46199</v>
      </c>
      <c r="Z5" s="4">
        <f t="shared" si="1"/>
        <v>46202</v>
      </c>
      <c r="AA5" s="5">
        <f t="shared" si="1"/>
        <v>46203</v>
      </c>
      <c r="AB5" s="5">
        <f t="shared" si="1"/>
        <v>46204</v>
      </c>
      <c r="AC5" s="5">
        <f t="shared" si="1"/>
        <v>46205</v>
      </c>
      <c r="AD5" s="5">
        <f t="shared" si="1"/>
        <v>46206</v>
      </c>
      <c r="AE5" s="5">
        <f t="shared" si="1"/>
        <v>46209</v>
      </c>
      <c r="AF5" s="5">
        <f t="shared" si="1"/>
        <v>46210</v>
      </c>
      <c r="AG5" s="5">
        <f t="shared" si="1"/>
        <v>46211</v>
      </c>
      <c r="AH5" s="5">
        <f t="shared" si="1"/>
        <v>46212</v>
      </c>
      <c r="AI5" s="5">
        <f t="shared" si="1"/>
        <v>46213</v>
      </c>
      <c r="AJ5" s="5">
        <f t="shared" si="1"/>
        <v>46216</v>
      </c>
      <c r="AK5" s="5">
        <f t="shared" si="1"/>
        <v>46217</v>
      </c>
      <c r="AL5" s="5">
        <f t="shared" si="1"/>
        <v>46218</v>
      </c>
      <c r="AM5" s="5">
        <f t="shared" si="1"/>
        <v>46219</v>
      </c>
      <c r="AN5" s="5">
        <f t="shared" si="1"/>
        <v>46220</v>
      </c>
      <c r="AO5" s="5">
        <f t="shared" si="1"/>
        <v>46223</v>
      </c>
      <c r="AP5" s="5">
        <f t="shared" si="1"/>
        <v>46224</v>
      </c>
      <c r="AQ5" s="5">
        <f t="shared" si="1"/>
        <v>46225</v>
      </c>
      <c r="AR5" s="5">
        <f t="shared" si="1"/>
        <v>46226</v>
      </c>
      <c r="AS5" s="5">
        <f t="shared" si="1"/>
        <v>46227</v>
      </c>
      <c r="AT5" s="5">
        <f t="shared" si="1"/>
        <v>46230</v>
      </c>
      <c r="AU5" s="5">
        <f t="shared" si="1"/>
        <v>46231</v>
      </c>
      <c r="AV5" s="5">
        <f t="shared" si="1"/>
        <v>46232</v>
      </c>
      <c r="AW5" s="5">
        <f t="shared" si="1"/>
        <v>46233</v>
      </c>
      <c r="AX5" s="5">
        <f t="shared" si="1"/>
        <v>46234</v>
      </c>
      <c r="AY5" s="5">
        <f t="shared" si="1"/>
        <v>46237</v>
      </c>
      <c r="AZ5" s="5">
        <f t="shared" si="1"/>
        <v>46238</v>
      </c>
      <c r="BA5" s="5">
        <f t="shared" si="1"/>
        <v>46239</v>
      </c>
      <c r="BB5" s="5">
        <f t="shared" si="1"/>
        <v>46240</v>
      </c>
      <c r="BC5" s="5">
        <f t="shared" si="1"/>
        <v>46241</v>
      </c>
      <c r="BD5" s="5">
        <f t="shared" si="1"/>
        <v>46244</v>
      </c>
      <c r="BE5" s="5">
        <f t="shared" si="1"/>
        <v>46245</v>
      </c>
      <c r="BF5" s="5">
        <f t="shared" si="1"/>
        <v>46246</v>
      </c>
      <c r="BG5" s="5">
        <f t="shared" si="1"/>
        <v>46247</v>
      </c>
      <c r="BH5" s="5">
        <f t="shared" si="1"/>
        <v>46248</v>
      </c>
      <c r="BI5" s="5">
        <f t="shared" si="1"/>
        <v>46251</v>
      </c>
      <c r="BJ5" s="5">
        <f t="shared" si="1"/>
        <v>46252</v>
      </c>
      <c r="BK5" s="5">
        <f t="shared" si="1"/>
        <v>46253</v>
      </c>
      <c r="BL5" s="5">
        <f t="shared" si="1"/>
        <v>46254</v>
      </c>
      <c r="BM5" s="5">
        <f t="shared" si="1"/>
        <v>46255</v>
      </c>
      <c r="BN5" s="5">
        <f t="shared" si="1"/>
        <v>46258</v>
      </c>
      <c r="BO5" s="5">
        <f t="shared" si="1"/>
        <v>46259</v>
      </c>
      <c r="BP5" s="5">
        <f t="shared" si="1"/>
        <v>46260</v>
      </c>
      <c r="BQ5" s="5">
        <f t="shared" si="1"/>
        <v>46261</v>
      </c>
      <c r="BR5" s="5">
        <f t="shared" si="1"/>
        <v>46262</v>
      </c>
      <c r="BS5" s="5">
        <f t="shared" si="1"/>
        <v>46265</v>
      </c>
      <c r="BT5" s="5">
        <f t="shared" si="1"/>
        <v>46266</v>
      </c>
      <c r="BU5" s="5">
        <f t="shared" si="1"/>
        <v>46267</v>
      </c>
      <c r="BV5" s="5">
        <f t="shared" si="1"/>
        <v>46268</v>
      </c>
      <c r="BW5" s="5">
        <f t="shared" si="1"/>
        <v>46269</v>
      </c>
      <c r="BX5" s="5">
        <f t="shared" si="1"/>
        <v>46272</v>
      </c>
      <c r="BY5" s="5">
        <f t="shared" si="1"/>
        <v>46273</v>
      </c>
      <c r="BZ5" s="5">
        <f t="shared" si="1"/>
        <v>46274</v>
      </c>
      <c r="CA5" s="5">
        <f t="shared" si="1"/>
        <v>46275</v>
      </c>
      <c r="CB5" s="5">
        <f t="shared" si="1"/>
        <v>46276</v>
      </c>
      <c r="CC5" s="5">
        <f t="shared" si="1"/>
        <v>46279</v>
      </c>
      <c r="CD5" s="5">
        <f t="shared" si="1"/>
        <v>46280</v>
      </c>
      <c r="CE5" s="5">
        <f t="shared" si="1"/>
        <v>46281</v>
      </c>
      <c r="CF5" s="5">
        <f t="shared" si="1"/>
        <v>46282</v>
      </c>
      <c r="CG5" s="5">
        <f t="shared" si="1"/>
        <v>46283</v>
      </c>
      <c r="CH5" s="5">
        <f t="shared" si="1"/>
        <v>46286</v>
      </c>
      <c r="CI5" s="5">
        <f t="shared" si="1"/>
        <v>46287</v>
      </c>
      <c r="CJ5" s="5">
        <f t="shared" si="1"/>
        <v>46288</v>
      </c>
      <c r="CK5" s="5">
        <f t="shared" si="1"/>
        <v>46289</v>
      </c>
      <c r="CL5" s="5">
        <f t="shared" si="1"/>
        <v>46290</v>
      </c>
      <c r="CM5" s="5">
        <f t="shared" si="1"/>
        <v>46293</v>
      </c>
      <c r="CN5" s="5">
        <f t="shared" si="1"/>
        <v>46294</v>
      </c>
      <c r="CO5" s="5">
        <f t="shared" si="1"/>
        <v>46295</v>
      </c>
      <c r="CP5" s="5">
        <f t="shared" si="1"/>
        <v>46296</v>
      </c>
    </row>
    <row r="6">
      <c r="B6" s="6" t="s">
        <v>5</v>
      </c>
      <c r="C6" s="7"/>
      <c r="D6" s="7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</row>
    <row r="7">
      <c r="B7" s="10" t="s">
        <v>6</v>
      </c>
      <c r="C7" s="11">
        <f>DATE(2026, 6, 1)</f>
        <v>46174</v>
      </c>
      <c r="D7" s="10">
        <v>5.0</v>
      </c>
      <c r="E7" s="12">
        <f t="shared" ref="E7:E9" si="2">IF(D7&gt;0, WORKDAY(C7, D7-1), C7)</f>
        <v>46178</v>
      </c>
      <c r="F7" s="13"/>
      <c r="G7" s="13"/>
      <c r="H7" s="13"/>
      <c r="I7" s="13"/>
      <c r="J7" s="13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</row>
    <row r="8">
      <c r="B8" s="10" t="s">
        <v>7</v>
      </c>
      <c r="C8" s="14">
        <f t="shared" ref="C8:C9" si="3">WORKDAY(E7, 1)</f>
        <v>46181</v>
      </c>
      <c r="D8" s="10">
        <v>5.0</v>
      </c>
      <c r="E8" s="12">
        <f t="shared" si="2"/>
        <v>46185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</row>
    <row r="9">
      <c r="B9" s="10" t="s">
        <v>8</v>
      </c>
      <c r="C9" s="14">
        <f t="shared" si="3"/>
        <v>46188</v>
      </c>
      <c r="D9" s="10">
        <v>5.0</v>
      </c>
      <c r="E9" s="12">
        <f t="shared" si="2"/>
        <v>46192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</row>
    <row r="10">
      <c r="B10" s="10" t="s">
        <v>9</v>
      </c>
      <c r="C10" s="14">
        <f>E9</f>
        <v>46192</v>
      </c>
      <c r="D10" s="10">
        <v>0.0</v>
      </c>
      <c r="E10" s="12">
        <f>C10</f>
        <v>46192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</row>
    <row r="11">
      <c r="B11" s="6" t="s">
        <v>10</v>
      </c>
      <c r="C11" s="7"/>
      <c r="D11" s="7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</row>
    <row r="12">
      <c r="B12" s="10" t="s">
        <v>11</v>
      </c>
      <c r="C12" s="14">
        <f>WORKDAY(E10, 1)</f>
        <v>46195</v>
      </c>
      <c r="D12" s="10">
        <v>5.0</v>
      </c>
      <c r="E12" s="12">
        <f t="shared" ref="E12:E15" si="4">IF(D12&gt;0, WORKDAY(C12, D12-1), C12)</f>
        <v>46199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</row>
    <row r="13">
      <c r="B13" s="10" t="s">
        <v>12</v>
      </c>
      <c r="C13" s="14">
        <f t="shared" ref="C13:C15" si="5">WORKDAY(E12, 1)</f>
        <v>46202</v>
      </c>
      <c r="D13" s="10">
        <v>15.0</v>
      </c>
      <c r="E13" s="12">
        <f t="shared" si="4"/>
        <v>46220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</row>
    <row r="14">
      <c r="B14" s="10" t="s">
        <v>13</v>
      </c>
      <c r="C14" s="14">
        <f t="shared" si="5"/>
        <v>46223</v>
      </c>
      <c r="D14" s="10">
        <v>10.0</v>
      </c>
      <c r="E14" s="12">
        <f t="shared" si="4"/>
        <v>46234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</row>
    <row r="15">
      <c r="B15" s="10" t="s">
        <v>14</v>
      </c>
      <c r="C15" s="14">
        <f t="shared" si="5"/>
        <v>46237</v>
      </c>
      <c r="D15" s="10">
        <v>5.0</v>
      </c>
      <c r="E15" s="12">
        <f t="shared" si="4"/>
        <v>46241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</row>
    <row r="16">
      <c r="B16" s="10" t="s">
        <v>15</v>
      </c>
      <c r="C16" s="14">
        <f>E15</f>
        <v>46241</v>
      </c>
      <c r="D16" s="10">
        <v>0.0</v>
      </c>
      <c r="E16" s="12">
        <f>C16</f>
        <v>46241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</row>
    <row r="17">
      <c r="B17" s="6" t="s">
        <v>16</v>
      </c>
      <c r="C17" s="7"/>
      <c r="D17" s="7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</row>
    <row r="18">
      <c r="B18" s="10" t="s">
        <v>17</v>
      </c>
      <c r="C18" s="14">
        <f>WORKDAY(E16, 1)</f>
        <v>46244</v>
      </c>
      <c r="D18" s="10">
        <v>5.0</v>
      </c>
      <c r="E18" s="12">
        <f t="shared" ref="E18:E21" si="6">IF(D18&gt;0, WORKDAY(C18, D18-1), C18)</f>
        <v>46248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</row>
    <row r="19">
      <c r="B19" s="10" t="s">
        <v>18</v>
      </c>
      <c r="C19" s="14">
        <f>WORKDAY(E18, 1)</f>
        <v>46251</v>
      </c>
      <c r="D19" s="10">
        <v>20.0</v>
      </c>
      <c r="E19" s="12">
        <f t="shared" si="6"/>
        <v>46276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</row>
    <row r="20">
      <c r="B20" s="10" t="s">
        <v>19</v>
      </c>
      <c r="C20" s="14">
        <f>WORKDAY(E18, 1)</f>
        <v>46251</v>
      </c>
      <c r="D20" s="10">
        <v>15.0</v>
      </c>
      <c r="E20" s="12">
        <f t="shared" si="6"/>
        <v>46269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</row>
    <row r="21">
      <c r="B21" s="10" t="s">
        <v>20</v>
      </c>
      <c r="C21" s="14">
        <f>WORKDAY(E18, 1)</f>
        <v>46251</v>
      </c>
      <c r="D21" s="10">
        <v>15.0</v>
      </c>
      <c r="E21" s="12">
        <f t="shared" si="6"/>
        <v>46269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</row>
    <row r="22">
      <c r="B22" s="10" t="s">
        <v>21</v>
      </c>
      <c r="C22" s="14">
        <f>E19</f>
        <v>46276</v>
      </c>
      <c r="D22" s="10">
        <v>0.0</v>
      </c>
      <c r="E22" s="12">
        <f>C22</f>
        <v>46276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</row>
    <row r="23">
      <c r="B23" s="6" t="s">
        <v>22</v>
      </c>
      <c r="C23" s="7"/>
      <c r="D23" s="7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</row>
    <row r="24">
      <c r="B24" s="10" t="s">
        <v>23</v>
      </c>
      <c r="C24" s="14">
        <f>WORKDAY(E22, 1)</f>
        <v>46279</v>
      </c>
      <c r="D24" s="10">
        <v>10.0</v>
      </c>
      <c r="E24" s="12">
        <f t="shared" ref="E24:E27" si="7">IF(D24&gt;0, WORKDAY(C24, D24-1), C24)</f>
        <v>46290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</row>
    <row r="25">
      <c r="B25" s="10" t="s">
        <v>24</v>
      </c>
      <c r="C25" s="14">
        <f>WORKDAY(E22, 1)</f>
        <v>46279</v>
      </c>
      <c r="D25" s="10">
        <v>8.0</v>
      </c>
      <c r="E25" s="12">
        <f t="shared" si="7"/>
        <v>46288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</row>
    <row r="26">
      <c r="B26" s="10" t="s">
        <v>25</v>
      </c>
      <c r="C26" s="14">
        <f t="shared" ref="C26:C27" si="8">WORKDAY(E25, 1)</f>
        <v>46289</v>
      </c>
      <c r="D26" s="10">
        <v>3.0</v>
      </c>
      <c r="E26" s="12">
        <f t="shared" si="7"/>
        <v>46293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</row>
    <row r="27">
      <c r="B27" s="10" t="s">
        <v>26</v>
      </c>
      <c r="C27" s="14">
        <f t="shared" si="8"/>
        <v>46294</v>
      </c>
      <c r="D27" s="10">
        <v>2.0</v>
      </c>
      <c r="E27" s="12">
        <f t="shared" si="7"/>
        <v>46295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</row>
    <row r="28">
      <c r="B28" s="10" t="s">
        <v>27</v>
      </c>
      <c r="C28" s="14">
        <f>E27</f>
        <v>46295</v>
      </c>
      <c r="D28" s="10">
        <v>0.0</v>
      </c>
      <c r="E28" s="12">
        <f>C28</f>
        <v>46295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</row>
  </sheetData>
  <mergeCells count="5">
    <mergeCell ref="B2:V3"/>
    <mergeCell ref="B6:E6"/>
    <mergeCell ref="B11:E11"/>
    <mergeCell ref="B17:E17"/>
    <mergeCell ref="B23:E23"/>
  </mergeCells>
  <conditionalFormatting sqref="F6:CP28">
    <cfRule type="expression" dxfId="0" priority="1" stopIfTrue="1">
      <formula>(F$5&gt;=$C6)*(F$5&lt;=$E6)*($D6&gt;0)*($C6&lt;&gt;"")*((ROW()=20)+(ROW()=21)+(ROW()=24)&gt;0)</formula>
    </cfRule>
  </conditionalFormatting>
  <conditionalFormatting sqref="F6:CP28">
    <cfRule type="expression" dxfId="1" priority="2" stopIfTrue="1">
      <formula>(F$5&gt;=$C6)*(F$5&lt;=$E6)*($D6&gt;0)*($C6&lt;&gt;"")*((ROW()=20)+(ROW()=21)+(ROW()=24)=0)</formula>
    </cfRule>
  </conditionalFormatting>
  <conditionalFormatting sqref="F6:CP28">
    <cfRule type="expression" dxfId="2" priority="3" stopIfTrue="1">
      <formula>(F$5&gt;=$C6)*(F$5&lt;=$E6)*($D6=0)*($C6&lt;&gt;"")</formula>
    </cfRule>
  </conditionalFormatting>
  <drawing r:id="rId1"/>
</worksheet>
</file>